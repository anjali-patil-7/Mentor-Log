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Log" sheetId="1" r:id="rId5"/>
    <sheet state="visible" name="Summary" sheetId="2" r:id="rId6"/>
    <sheet state="visible" name="Instructions" sheetId="3" r:id="rId7"/>
  </sheets>
  <definedNames>
    <definedName hidden="1" localSheetId="0" name="_xlnm._FilterDatabase">'Class Log'!$A$5:$K$29</definedName>
  </definedNames>
  <calcPr/>
</workbook>
</file>

<file path=xl/sharedStrings.xml><?xml version="1.0" encoding="utf-8"?>
<sst xmlns="http://schemas.openxmlformats.org/spreadsheetml/2006/main" count="182" uniqueCount="108">
  <si>
    <t>TRAINER SUMMARY</t>
  </si>
  <si>
    <t>How to use this template</t>
  </si>
  <si>
    <t>1</t>
  </si>
  <si>
    <t>TRAINER CLASS &amp; TRAINING LOG</t>
  </si>
  <si>
    <t>Enter trainer, course, student and training period in the top section.</t>
  </si>
  <si>
    <t>Metric</t>
  </si>
  <si>
    <t>2</t>
  </si>
  <si>
    <t>Add one row for every class/session.</t>
  </si>
  <si>
    <t>3</t>
  </si>
  <si>
    <t>Enter Date, Start Time and End Time. Day and Duration calculate automatically.</t>
  </si>
  <si>
    <t>4</t>
  </si>
  <si>
    <t>Record the topics actually taught in Topics Taught.</t>
  </si>
  <si>
    <t>5</t>
  </si>
  <si>
    <t>Value</t>
  </si>
  <si>
    <t>Record homework/practical work in Task / Assignment Given.</t>
  </si>
  <si>
    <t>Trainer Name</t>
  </si>
  <si>
    <t>Total Classes</t>
  </si>
  <si>
    <t>6</t>
  </si>
  <si>
    <t>Select the class status from the dropdown.</t>
  </si>
  <si>
    <t>7</t>
  </si>
  <si>
    <t>Use Remarks for student understanding, weaknesses, follow-up, or trainer notes.</t>
  </si>
  <si>
    <t>8</t>
  </si>
  <si>
    <t>Use the Summary tab for a quick overview of total classes and training hours.</t>
  </si>
  <si>
    <t xml:space="preserve">Anjali A </t>
  </si>
  <si>
    <t>Course</t>
  </si>
  <si>
    <t>FULL STACK DEV</t>
  </si>
  <si>
    <t>Student Name</t>
  </si>
  <si>
    <t>VARSHA , Sindhu , vinay</t>
  </si>
  <si>
    <t xml:space="preserve">DAYS - TUE, THUR , SAT </t>
  </si>
  <si>
    <t>Training Period</t>
  </si>
  <si>
    <t xml:space="preserve">3 MONTHS </t>
  </si>
  <si>
    <t>S.No</t>
  </si>
  <si>
    <t>Total Training Hours</t>
  </si>
  <si>
    <t>Completed Classes</t>
  </si>
  <si>
    <t>Date</t>
  </si>
  <si>
    <t>Day</t>
  </si>
  <si>
    <t>Start Time</t>
  </si>
  <si>
    <t>End Time</t>
  </si>
  <si>
    <t>Duration</t>
  </si>
  <si>
    <t>Topics Taught</t>
  </si>
  <si>
    <t>Classes In Progress</t>
  </si>
  <si>
    <t>Task / Assignment Given</t>
  </si>
  <si>
    <t>Class Status</t>
  </si>
  <si>
    <t>Remarks</t>
  </si>
  <si>
    <t>VARSHA</t>
  </si>
  <si>
    <t>Needs Revision</t>
  </si>
  <si>
    <t>Absent</t>
  </si>
  <si>
    <t>6.30PM</t>
  </si>
  <si>
    <t>8.00PM</t>
  </si>
  <si>
    <t>1.30 hours</t>
  </si>
  <si>
    <t>Introduce to syllabus</t>
  </si>
  <si>
    <t>NA</t>
  </si>
  <si>
    <t>Completed</t>
  </si>
  <si>
    <t>6.00PM</t>
  </si>
  <si>
    <t>2 hours</t>
  </si>
  <si>
    <t>what is htlm, basic structure, tags, list tag, forms,tables</t>
  </si>
  <si>
    <t xml:space="preserve">create a student portal - basic html page </t>
  </si>
  <si>
    <t>here i took 2 sessions</t>
  </si>
  <si>
    <t>1.30hours</t>
  </si>
  <si>
    <t>Intro css , css types , selectors , different classes , units , flex, grid</t>
  </si>
  <si>
    <t xml:space="preserve">create a form </t>
  </si>
  <si>
    <t xml:space="preserve">Bootstap, breaking points , typesof colums , covered bootstrap documentations , media queries , fluid container </t>
  </si>
  <si>
    <t>revise and cover  all topics from bootstap doc</t>
  </si>
  <si>
    <t>Javascript intro , datatypes, variable , array methods, string methods</t>
  </si>
  <si>
    <t xml:space="preserve">Task / Assignment Given to solve problems using array , string methods </t>
  </si>
  <si>
    <t>control flow - condition ,loops , if statements , operators</t>
  </si>
  <si>
    <t>Task given to solve logical problems</t>
  </si>
  <si>
    <t xml:space="preserve">loops , dtw btw == , === , functions </t>
  </si>
  <si>
    <t>5.00PM</t>
  </si>
  <si>
    <t>3hours</t>
  </si>
  <si>
    <t xml:space="preserve">array method problems , object methods , different functions </t>
  </si>
  <si>
    <t xml:space="preserve">Javascirpt interview qus to solve - logical , method , functions </t>
  </si>
  <si>
    <t>2hours</t>
  </si>
  <si>
    <t xml:space="preserve">took review of studuent , function , rest and spread operator, promise and its methods  </t>
  </si>
  <si>
    <t xml:space="preserve">Task given to revise all the topics  , concepts , problems to solve </t>
  </si>
  <si>
    <t>3.30PM</t>
  </si>
  <si>
    <t>4.30hours</t>
  </si>
  <si>
    <t xml:space="preserve">Call apply bind , dom and dom manipluation , </t>
  </si>
  <si>
    <t xml:space="preserve">Task given to create a calculator using dom and 30+ qus to solve </t>
  </si>
  <si>
    <t>6.20PM</t>
  </si>
  <si>
    <t>2.20hours</t>
  </si>
  <si>
    <t xml:space="preserve">diff btw libary and framework , intro react , rendering , redirecting , installation and setup steps , what is react , node.js, jsx, diff btw static and dynamic , babel compilation , components and its types , diff btw import and export in react , types of exports </t>
  </si>
  <si>
    <t xml:space="preserve">Task to create a expense tracker dashboard </t>
  </si>
  <si>
    <t xml:space="preserve">task is incomplete which i have gave in last session  5th of sept , to solve qus </t>
  </si>
  <si>
    <t>took the review , installation of react , node, npm , and setup the react to do pratical problems, package-lock.json, packjson.json , how to use the components in the file project , difft btw App.jsx , main.jsx</t>
  </si>
  <si>
    <t xml:space="preserve">Task given to create multiple compoenets </t>
  </si>
  <si>
    <t xml:space="preserve">Task is incomplete which gave in last session - expense tracker dashbaord, student need to revise the topics </t>
  </si>
  <si>
    <t>7.00PM</t>
  </si>
  <si>
    <t>2.00hours</t>
  </si>
  <si>
    <t xml:space="preserve">merits and demerits of react , rules of jsx, event handling , forms , diff btw div and fragments , create components , multiple compoenets , list and keys , props:parent to child and child to parent , CSR , SSR ,  state </t>
  </si>
  <si>
    <t>Task given to solve problems based on compoenents , props, state, lists and keys , csr and ssr</t>
  </si>
  <si>
    <t xml:space="preserve">still task is incompleted given on 8th sept -- expense tracker dashbaord </t>
  </si>
  <si>
    <t>6.30pm</t>
  </si>
  <si>
    <t>8.00pm</t>
  </si>
  <si>
    <t>real dom vs virtual dom , reconcillation , react hooks , usestatehook , useeffect hook</t>
  </si>
  <si>
    <t xml:space="preserve">task gievn to solve the hooks related problems solving </t>
  </si>
  <si>
    <t>vinya</t>
  </si>
  <si>
    <t xml:space="preserve">intro html , common tags - h, p , a , tables , list-ordered and unordered, alt ,different text formates </t>
  </si>
  <si>
    <t>https://tldv.io/app/meetings/6aa15c9d449b9f0013eb082b</t>
  </si>
  <si>
    <t>16-sept-2026</t>
  </si>
  <si>
    <t xml:space="preserve">intro to cloud computing </t>
  </si>
  <si>
    <t>18-sept-2026</t>
  </si>
  <si>
    <t>cloud computing fundamentals , what , why , key benefits and characteristics , compariosn , resilience concepts</t>
  </si>
  <si>
    <t>21-sept-2026</t>
  </si>
  <si>
    <t xml:space="preserve">cloud service models - iass , paas , saas , shared resposibility model </t>
  </si>
  <si>
    <t>Sindhu</t>
  </si>
  <si>
    <t>1.30Hours</t>
  </si>
  <si>
    <t>23-sept-2026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</si>
</sst>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]:mm"/>
    <numFmt numFmtId="165" formatCode="dd-mmm-yyyy"/>
    <numFmt numFmtId="166" formatCode="d-mmm-yyyy"/>
  </numFmts>
  <fonts count="9">
    <font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u/>
      <color rgb="FF0000FF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/>
      <right/>
      <top/>
      <bottom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1" fillId="2" fontId="4" numFmtId="0" xfId="0" applyBorder="1" applyFill="1" applyFont="1"/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readingOrder="0"/>
    </xf>
    <xf borderId="0" fillId="0" fontId="3" numFmtId="1" xfId="0" applyFont="1" applyNumberFormat="1"/>
    <xf borderId="0" fillId="0" fontId="3" numFmtId="164" xfId="0" applyFont="1" applyNumberFormat="1"/>
    <xf borderId="2" fillId="2" fontId="7" numFmtId="0" xfId="0" applyAlignment="1" applyBorder="1" applyFill="1" applyFont="1">
      <alignment readingOrder="0" shrinkToFit="0" vertical="top" wrapText="1"/>
    </xf>
    <xf borderId="2" fillId="2" fontId="4" numFmtId="0" xfId="0" applyAlignment="1" applyBorder="1" applyFill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3" numFmtId="165" xfId="0" applyAlignment="1" applyBorder="1" applyFont="1" applyNumberFormat="1">
      <alignment readingOrder="0" shrinkToFit="0" vertical="top" wrapText="1"/>
    </xf>
    <xf borderId="2" fillId="0" fontId="3" numFmtId="166" xfId="0" applyAlignment="1" applyBorder="1" applyFont="1" applyNumberFormat="1">
      <alignment readingOrder="0" shrinkToFit="0" vertical="top" wrapText="1"/>
    </xf>
    <xf borderId="2" fillId="0" fontId="3" numFmtId="164" xfId="0" applyAlignment="1" applyBorder="1" applyFont="1" applyNumberFormat="1">
      <alignment shrinkToFit="0" vertical="top" wrapText="1"/>
    </xf>
    <xf borderId="2" fillId="0" fontId="3" numFmtId="165" xfId="0" applyAlignment="1" applyBorder="1" applyFont="1" applyNumberFormat="1">
      <alignment shrinkToFit="0" vertical="top" wrapText="1"/>
    </xf>
    <xf borderId="2" fillId="0" fontId="3" numFmtId="18" xfId="0" applyAlignment="1" applyBorder="1" applyFont="1" applyNumberFormat="1">
      <alignment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0" fillId="0" fontId="6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3" Type="http://schemas.openxmlformats.org/officeDocument/2006/relationships/hyperlink" Target="https://tldv.io/app/meetings/6aa15c9d449b9f0013eb082b" TargetMode="External"/><Relationship Id="rId4" Type="http://schemas.openxmlformats.org/officeDocument/2006/relationships/hyperlink" Target="http://s.no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14"/>
    <col customWidth="1" min="2" max="2" width="18.0"/>
    <col customWidth="1" min="3" max="3" width="15.0"/>
    <col customWidth="1" min="4" max="4" width="14.0"/>
    <col customWidth="1" min="5" max="5" width="17.0"/>
    <col customWidth="1" min="6" max="6" width="13.0"/>
    <col customWidth="1" min="7" max="7" width="12.0"/>
    <col customWidth="1" min="8" max="8" width="35.0"/>
    <col customWidth="1" min="9" max="9" width="42.0"/>
    <col customWidth="1" min="10" max="10" width="20.0"/>
    <col customWidth="1" min="11" max="11" width="32.0"/>
    <col customWidth="1" min="12" max="26" width="8.71"/>
  </cols>
  <sheetData>
    <row r="1">
      <c r="A1" s="2" t="s">
        <v>3</v>
      </c>
    </row>
    <row r="3">
      <c r="A3" s="5" t="s">
        <v>15</v>
      </c>
      <c r="B3" s="7" t="s">
        <v>23</v>
      </c>
      <c r="D3" s="5" t="s">
        <v>24</v>
      </c>
      <c r="E3" s="7" t="s">
        <v>25</v>
      </c>
      <c r="G3" s="5" t="s">
        <v>26</v>
      </c>
      <c r="H3" s="7" t="s">
        <v>27</v>
      </c>
      <c r="I3" s="7" t="s">
        <v>28</v>
      </c>
      <c r="J3" s="5" t="s">
        <v>29</v>
      </c>
      <c r="K3" s="7" t="s">
        <v>30</v>
      </c>
    </row>
    <row r="5" ht="30.0" customHeight="1">
      <c r="A5" s="10" t="s">
        <v>31</v>
      </c>
      <c r="B5" s="11" t="s">
        <v>26</v>
      </c>
      <c r="C5" s="11" t="s">
        <v>34</v>
      </c>
      <c r="D5" s="11" t="s">
        <v>35</v>
      </c>
      <c r="E5" s="11" t="s">
        <v>36</v>
      </c>
      <c r="F5" s="11" t="s">
        <v>37</v>
      </c>
      <c r="G5" s="11" t="s">
        <v>38</v>
      </c>
      <c r="H5" s="11" t="s">
        <v>39</v>
      </c>
      <c r="I5" s="11" t="s">
        <v>41</v>
      </c>
      <c r="J5" s="11" t="s">
        <v>42</v>
      </c>
      <c r="K5" s="11" t="s">
        <v>43</v>
      </c>
    </row>
    <row r="6">
      <c r="A6" s="12">
        <v>1.0</v>
      </c>
      <c r="B6" s="13" t="s">
        <v>44</v>
      </c>
      <c r="C6" s="14">
        <v>46239.0</v>
      </c>
      <c r="D6" s="12" t="str">
        <f t="shared" ref="D6:D29" si="1">IF(C6="","",TEXT(C6,"dddd"))</f>
        <v>Wednesday</v>
      </c>
      <c r="E6" s="13" t="s">
        <v>47</v>
      </c>
      <c r="F6" s="13" t="s">
        <v>48</v>
      </c>
      <c r="G6" s="13" t="s">
        <v>49</v>
      </c>
      <c r="H6" s="13" t="s">
        <v>50</v>
      </c>
      <c r="I6" s="13" t="s">
        <v>51</v>
      </c>
      <c r="J6" s="13" t="s">
        <v>52</v>
      </c>
      <c r="K6" s="12"/>
    </row>
    <row r="7">
      <c r="A7" s="12">
        <v>2.0</v>
      </c>
      <c r="B7" s="12"/>
      <c r="C7" s="14">
        <v>46242.0</v>
      </c>
      <c r="D7" s="12" t="str">
        <f t="shared" si="1"/>
        <v>Saturday</v>
      </c>
      <c r="E7" s="13" t="s">
        <v>53</v>
      </c>
      <c r="F7" s="13" t="s">
        <v>48</v>
      </c>
      <c r="G7" s="13" t="s">
        <v>54</v>
      </c>
      <c r="H7" s="13" t="s">
        <v>55</v>
      </c>
      <c r="I7" s="13" t="s">
        <v>56</v>
      </c>
      <c r="J7" s="13" t="s">
        <v>52</v>
      </c>
      <c r="K7" s="13" t="s">
        <v>57</v>
      </c>
    </row>
    <row r="8">
      <c r="A8" s="12">
        <v>3.0</v>
      </c>
      <c r="B8" s="12"/>
      <c r="C8" s="15">
        <v>46245.0</v>
      </c>
      <c r="D8" s="12" t="str">
        <f t="shared" si="1"/>
        <v>Tuesday</v>
      </c>
      <c r="E8" s="13" t="s">
        <v>47</v>
      </c>
      <c r="F8" s="13" t="s">
        <v>48</v>
      </c>
      <c r="G8" s="13" t="s">
        <v>58</v>
      </c>
      <c r="H8" s="13" t="s">
        <v>59</v>
      </c>
      <c r="I8" s="13" t="s">
        <v>60</v>
      </c>
      <c r="J8" s="13" t="s">
        <v>52</v>
      </c>
      <c r="K8" s="12"/>
    </row>
    <row r="9">
      <c r="A9" s="12">
        <v>4.0</v>
      </c>
      <c r="B9" s="12"/>
      <c r="C9" s="14">
        <v>46254.0</v>
      </c>
      <c r="D9" s="12" t="str">
        <f t="shared" si="1"/>
        <v>Thursday</v>
      </c>
      <c r="E9" s="13" t="s">
        <v>47</v>
      </c>
      <c r="F9" s="13" t="s">
        <v>48</v>
      </c>
      <c r="G9" s="13" t="s">
        <v>58</v>
      </c>
      <c r="H9" s="13" t="s">
        <v>61</v>
      </c>
      <c r="I9" s="13" t="s">
        <v>62</v>
      </c>
      <c r="J9" s="13" t="s">
        <v>52</v>
      </c>
      <c r="K9" s="12"/>
    </row>
    <row r="10">
      <c r="A10" s="12">
        <v>5.0</v>
      </c>
      <c r="B10" s="12"/>
      <c r="C10" s="14">
        <v>46256.0</v>
      </c>
      <c r="D10" s="12" t="str">
        <f t="shared" si="1"/>
        <v>Saturday</v>
      </c>
      <c r="E10" s="13" t="s">
        <v>47</v>
      </c>
      <c r="F10" s="13" t="s">
        <v>48</v>
      </c>
      <c r="G10" s="13" t="s">
        <v>58</v>
      </c>
      <c r="H10" s="13" t="s">
        <v>63</v>
      </c>
      <c r="I10" s="13" t="s">
        <v>64</v>
      </c>
      <c r="J10" s="13" t="s">
        <v>52</v>
      </c>
      <c r="K10" s="12"/>
    </row>
    <row r="11">
      <c r="A11" s="12">
        <v>6.0</v>
      </c>
      <c r="B11" s="12"/>
      <c r="C11" s="14">
        <v>46259.0</v>
      </c>
      <c r="D11" s="12" t="str">
        <f t="shared" si="1"/>
        <v>Tuesday</v>
      </c>
      <c r="E11" s="13" t="s">
        <v>47</v>
      </c>
      <c r="F11" s="13" t="s">
        <v>48</v>
      </c>
      <c r="G11" s="13" t="s">
        <v>58</v>
      </c>
      <c r="H11" s="13" t="s">
        <v>65</v>
      </c>
      <c r="I11" s="13" t="s">
        <v>66</v>
      </c>
      <c r="J11" s="13" t="s">
        <v>52</v>
      </c>
      <c r="K11" s="12"/>
    </row>
    <row r="12">
      <c r="A12" s="12">
        <v>7.0</v>
      </c>
      <c r="B12" s="12"/>
      <c r="C12" s="14">
        <v>46261.0</v>
      </c>
      <c r="D12" s="12" t="str">
        <f t="shared" si="1"/>
        <v>Thursday</v>
      </c>
      <c r="E12" s="13" t="s">
        <v>47</v>
      </c>
      <c r="F12" s="13" t="s">
        <v>48</v>
      </c>
      <c r="G12" s="13" t="s">
        <v>58</v>
      </c>
      <c r="H12" s="13" t="s">
        <v>67</v>
      </c>
      <c r="I12" s="13" t="s">
        <v>66</v>
      </c>
      <c r="J12" s="12"/>
      <c r="K12" s="12"/>
    </row>
    <row r="13">
      <c r="A13" s="12">
        <v>8.0</v>
      </c>
      <c r="B13" s="12"/>
      <c r="C13" s="14">
        <v>46263.0</v>
      </c>
      <c r="D13" s="12" t="str">
        <f t="shared" si="1"/>
        <v>Saturday</v>
      </c>
      <c r="E13" s="13" t="s">
        <v>68</v>
      </c>
      <c r="F13" s="13" t="s">
        <v>48</v>
      </c>
      <c r="G13" s="13" t="s">
        <v>69</v>
      </c>
      <c r="H13" s="13" t="s">
        <v>70</v>
      </c>
      <c r="I13" s="13" t="s">
        <v>71</v>
      </c>
      <c r="J13" s="13" t="s">
        <v>52</v>
      </c>
      <c r="K13" s="12"/>
    </row>
    <row r="14">
      <c r="A14" s="12">
        <v>9.0</v>
      </c>
      <c r="B14" s="12"/>
      <c r="C14" s="14">
        <v>46268.0</v>
      </c>
      <c r="D14" s="12" t="str">
        <f t="shared" si="1"/>
        <v>Thursday</v>
      </c>
      <c r="E14" s="13" t="s">
        <v>53</v>
      </c>
      <c r="F14" s="13" t="s">
        <v>48</v>
      </c>
      <c r="G14" s="13" t="s">
        <v>72</v>
      </c>
      <c r="H14" s="13" t="s">
        <v>73</v>
      </c>
      <c r="I14" s="13" t="s">
        <v>74</v>
      </c>
      <c r="J14" s="13" t="s">
        <v>52</v>
      </c>
      <c r="K14" s="12"/>
    </row>
    <row r="15">
      <c r="A15" s="12">
        <v>10.0</v>
      </c>
      <c r="B15" s="12"/>
      <c r="C15" s="14">
        <v>46270.0</v>
      </c>
      <c r="D15" s="12" t="str">
        <f t="shared" si="1"/>
        <v>Saturday</v>
      </c>
      <c r="E15" s="13" t="s">
        <v>75</v>
      </c>
      <c r="F15" s="13" t="s">
        <v>48</v>
      </c>
      <c r="G15" s="13" t="s">
        <v>76</v>
      </c>
      <c r="H15" s="13" t="s">
        <v>77</v>
      </c>
      <c r="I15" s="13" t="s">
        <v>78</v>
      </c>
      <c r="J15" s="13" t="s">
        <v>52</v>
      </c>
      <c r="K15" s="12"/>
    </row>
    <row r="16">
      <c r="A16" s="12">
        <v>11.0</v>
      </c>
      <c r="B16" s="12"/>
      <c r="C16" s="14">
        <v>46273.0</v>
      </c>
      <c r="D16" s="12" t="str">
        <f t="shared" si="1"/>
        <v>Tuesday</v>
      </c>
      <c r="E16" s="13" t="s">
        <v>79</v>
      </c>
      <c r="F16" s="13" t="s">
        <v>48</v>
      </c>
      <c r="G16" s="13" t="s">
        <v>80</v>
      </c>
      <c r="H16" s="13" t="s">
        <v>81</v>
      </c>
      <c r="I16" s="13" t="s">
        <v>82</v>
      </c>
      <c r="J16" s="12"/>
      <c r="K16" s="13" t="s">
        <v>83</v>
      </c>
    </row>
    <row r="17">
      <c r="A17" s="12">
        <v>12.0</v>
      </c>
      <c r="B17" s="12"/>
      <c r="C17" s="14">
        <v>46275.0</v>
      </c>
      <c r="D17" s="12" t="str">
        <f t="shared" si="1"/>
        <v>Thursday</v>
      </c>
      <c r="E17" s="13" t="s">
        <v>47</v>
      </c>
      <c r="F17" s="13" t="s">
        <v>48</v>
      </c>
      <c r="G17" s="13" t="s">
        <v>58</v>
      </c>
      <c r="H17" s="13" t="s">
        <v>84</v>
      </c>
      <c r="I17" s="13" t="s">
        <v>85</v>
      </c>
      <c r="J17" s="13" t="s">
        <v>45</v>
      </c>
      <c r="K17" s="13" t="s">
        <v>86</v>
      </c>
    </row>
    <row r="18">
      <c r="A18" s="12">
        <v>13.0</v>
      </c>
      <c r="B18" s="12"/>
      <c r="C18" s="14">
        <v>46277.0</v>
      </c>
      <c r="D18" s="12" t="str">
        <f t="shared" si="1"/>
        <v>Saturday</v>
      </c>
      <c r="E18" s="13" t="s">
        <v>68</v>
      </c>
      <c r="F18" s="13" t="s">
        <v>87</v>
      </c>
      <c r="G18" s="13" t="s">
        <v>88</v>
      </c>
      <c r="H18" s="13" t="s">
        <v>89</v>
      </c>
      <c r="I18" s="13" t="s">
        <v>90</v>
      </c>
      <c r="J18" s="13" t="s">
        <v>52</v>
      </c>
      <c r="K18" s="13" t="s">
        <v>91</v>
      </c>
    </row>
    <row r="19">
      <c r="A19" s="12">
        <v>15.0</v>
      </c>
      <c r="B19" s="12"/>
      <c r="C19" s="14">
        <v>46287.0</v>
      </c>
      <c r="D19" s="12" t="str">
        <f t="shared" si="1"/>
        <v>Tuesday</v>
      </c>
      <c r="E19" s="13" t="s">
        <v>92</v>
      </c>
      <c r="F19" s="13" t="s">
        <v>93</v>
      </c>
      <c r="G19" s="16" t="str">
        <f t="shared" ref="G19:G29" si="2">IF(OR(E19="",F19=""),"",F19-E19)</f>
        <v>#VALUE!</v>
      </c>
      <c r="H19" s="13" t="s">
        <v>94</v>
      </c>
      <c r="I19" s="13" t="s">
        <v>95</v>
      </c>
      <c r="J19" s="12"/>
      <c r="K19" s="12"/>
    </row>
    <row r="20" ht="15.75" customHeight="1">
      <c r="A20" s="12">
        <v>16.0</v>
      </c>
      <c r="B20" s="12"/>
      <c r="C20" s="17"/>
      <c r="D20" s="12" t="str">
        <f t="shared" si="1"/>
        <v/>
      </c>
      <c r="E20" s="18"/>
      <c r="F20" s="18"/>
      <c r="G20" s="16" t="str">
        <f t="shared" si="2"/>
        <v/>
      </c>
      <c r="H20" s="12"/>
      <c r="I20" s="12"/>
      <c r="J20" s="12"/>
      <c r="K20" s="12"/>
    </row>
    <row r="21" ht="15.75" customHeight="1">
      <c r="A21" s="12">
        <v>17.0</v>
      </c>
      <c r="B21" s="12"/>
      <c r="C21" s="17"/>
      <c r="D21" s="12" t="str">
        <f t="shared" si="1"/>
        <v/>
      </c>
      <c r="E21" s="18"/>
      <c r="F21" s="18"/>
      <c r="G21" s="16" t="str">
        <f t="shared" si="2"/>
        <v/>
      </c>
      <c r="H21" s="12"/>
      <c r="I21" s="12"/>
      <c r="J21" s="12"/>
      <c r="K21" s="12"/>
    </row>
    <row r="22" ht="15.75" customHeight="1">
      <c r="A22" s="12">
        <v>18.0</v>
      </c>
      <c r="B22" s="12"/>
      <c r="C22" s="17"/>
      <c r="D22" s="12" t="str">
        <f t="shared" si="1"/>
        <v/>
      </c>
      <c r="E22" s="18"/>
      <c r="F22" s="18"/>
      <c r="G22" s="16" t="str">
        <f t="shared" si="2"/>
        <v/>
      </c>
      <c r="H22" s="12"/>
      <c r="I22" s="12"/>
      <c r="J22" s="12"/>
      <c r="K22" s="12"/>
    </row>
    <row r="23" ht="15.75" customHeight="1">
      <c r="A23" s="12">
        <v>19.0</v>
      </c>
      <c r="B23" s="12"/>
      <c r="C23" s="17"/>
      <c r="D23" s="12" t="str">
        <f t="shared" si="1"/>
        <v/>
      </c>
      <c r="E23" s="18"/>
      <c r="F23" s="18"/>
      <c r="G23" s="16" t="str">
        <f t="shared" si="2"/>
        <v/>
      </c>
      <c r="H23" s="12"/>
      <c r="I23" s="12"/>
      <c r="J23" s="12"/>
      <c r="K23" s="12"/>
    </row>
    <row r="24" ht="15.75" customHeight="1">
      <c r="A24" s="12">
        <v>20.0</v>
      </c>
      <c r="B24" s="12"/>
      <c r="C24" s="17"/>
      <c r="D24" s="12" t="str">
        <f t="shared" si="1"/>
        <v/>
      </c>
      <c r="E24" s="18"/>
      <c r="F24" s="18"/>
      <c r="G24" s="16" t="str">
        <f t="shared" si="2"/>
        <v/>
      </c>
      <c r="H24" s="12"/>
      <c r="I24" s="12"/>
      <c r="J24" s="12"/>
      <c r="K24" s="12"/>
    </row>
    <row r="25" ht="15.75" customHeight="1">
      <c r="A25" s="12">
        <v>21.0</v>
      </c>
      <c r="B25" s="12"/>
      <c r="C25" s="17"/>
      <c r="D25" s="12" t="str">
        <f t="shared" si="1"/>
        <v/>
      </c>
      <c r="E25" s="18"/>
      <c r="F25" s="18"/>
      <c r="G25" s="16" t="str">
        <f t="shared" si="2"/>
        <v/>
      </c>
      <c r="H25" s="12"/>
      <c r="I25" s="12"/>
      <c r="J25" s="12"/>
      <c r="K25" s="12"/>
    </row>
    <row r="26" ht="15.75" customHeight="1">
      <c r="A26" s="12">
        <v>22.0</v>
      </c>
      <c r="B26" s="12"/>
      <c r="C26" s="17"/>
      <c r="D26" s="12" t="str">
        <f t="shared" si="1"/>
        <v/>
      </c>
      <c r="E26" s="18"/>
      <c r="F26" s="18"/>
      <c r="G26" s="16" t="str">
        <f t="shared" si="2"/>
        <v/>
      </c>
      <c r="H26" s="12"/>
      <c r="I26" s="12"/>
      <c r="J26" s="12"/>
      <c r="K26" s="12"/>
    </row>
    <row r="27" ht="15.75" customHeight="1">
      <c r="A27" s="12">
        <v>23.0</v>
      </c>
      <c r="B27" s="12"/>
      <c r="C27" s="17"/>
      <c r="D27" s="12" t="str">
        <f t="shared" si="1"/>
        <v/>
      </c>
      <c r="E27" s="18"/>
      <c r="F27" s="18"/>
      <c r="G27" s="16" t="str">
        <f t="shared" si="2"/>
        <v/>
      </c>
      <c r="H27" s="12"/>
      <c r="I27" s="12"/>
      <c r="J27" s="12"/>
      <c r="K27" s="12"/>
    </row>
    <row r="28" ht="15.75" customHeight="1">
      <c r="A28" s="12">
        <v>24.0</v>
      </c>
      <c r="B28" s="12"/>
      <c r="C28" s="17"/>
      <c r="D28" s="12" t="str">
        <f t="shared" si="1"/>
        <v/>
      </c>
      <c r="E28" s="18"/>
      <c r="F28" s="18"/>
      <c r="G28" s="16" t="str">
        <f t="shared" si="2"/>
        <v/>
      </c>
      <c r="H28" s="12"/>
      <c r="I28" s="12"/>
      <c r="J28" s="12"/>
      <c r="K28" s="12"/>
    </row>
    <row r="29" ht="15.75" customHeight="1">
      <c r="A29" s="12">
        <v>25.0</v>
      </c>
      <c r="B29" s="12"/>
      <c r="C29" s="17"/>
      <c r="D29" s="12" t="str">
        <f t="shared" si="1"/>
        <v/>
      </c>
      <c r="E29" s="18"/>
      <c r="F29" s="18"/>
      <c r="G29" s="16" t="str">
        <f t="shared" si="2"/>
        <v/>
      </c>
      <c r="H29" s="12"/>
      <c r="I29" s="12"/>
      <c r="J29" s="12"/>
      <c r="K29" s="12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30.0" customHeight="1">
      <c r="A43" s="10" t="s">
        <v>31</v>
      </c>
      <c r="B43" s="11" t="s">
        <v>26</v>
      </c>
      <c r="C43" s="11" t="s">
        <v>34</v>
      </c>
      <c r="D43" s="11" t="s">
        <v>35</v>
      </c>
      <c r="E43" s="11" t="s">
        <v>36</v>
      </c>
      <c r="F43" s="11" t="s">
        <v>37</v>
      </c>
      <c r="G43" s="11" t="s">
        <v>38</v>
      </c>
      <c r="H43" s="11" t="s">
        <v>39</v>
      </c>
      <c r="I43" s="11" t="s">
        <v>41</v>
      </c>
      <c r="J43" s="11" t="s">
        <v>42</v>
      </c>
      <c r="K43" s="11" t="s">
        <v>43</v>
      </c>
    </row>
    <row r="44">
      <c r="A44" s="12">
        <v>14.0</v>
      </c>
      <c r="B44" s="13" t="s">
        <v>96</v>
      </c>
      <c r="C44" s="14">
        <v>46274.0</v>
      </c>
      <c r="D44" s="12" t="str">
        <f>IF(C44="","",TEXT(C44,"dddd"))</f>
        <v>Wednesday</v>
      </c>
      <c r="E44" s="13" t="s">
        <v>47</v>
      </c>
      <c r="F44" s="13" t="s">
        <v>48</v>
      </c>
      <c r="G44" s="13">
        <v>1.3</v>
      </c>
      <c r="H44" s="13" t="s">
        <v>97</v>
      </c>
      <c r="I44" s="12"/>
      <c r="J44" s="13" t="s">
        <v>52</v>
      </c>
      <c r="K44" s="19" t="s">
        <v>98</v>
      </c>
    </row>
    <row r="45" ht="15.75" customHeight="1">
      <c r="C45" s="7" t="s">
        <v>99</v>
      </c>
      <c r="E45" s="7" t="s">
        <v>92</v>
      </c>
      <c r="F45" s="7" t="s">
        <v>93</v>
      </c>
      <c r="H45" s="7" t="s">
        <v>100</v>
      </c>
      <c r="J45" s="6"/>
    </row>
    <row r="46" ht="15.75" customHeight="1">
      <c r="C46" s="7" t="s">
        <v>101</v>
      </c>
      <c r="E46" s="7" t="s">
        <v>92</v>
      </c>
      <c r="F46" s="7" t="s">
        <v>93</v>
      </c>
      <c r="H46" s="7" t="s">
        <v>102</v>
      </c>
      <c r="J46" s="6"/>
    </row>
    <row r="47" ht="15.75" customHeight="1">
      <c r="C47" s="7" t="s">
        <v>103</v>
      </c>
      <c r="H47" s="7" t="s">
        <v>104</v>
      </c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30.0" customHeight="1">
      <c r="A90" s="10" t="s">
        <v>31</v>
      </c>
      <c r="B90" s="11" t="s">
        <v>26</v>
      </c>
      <c r="C90" s="11" t="s">
        <v>34</v>
      </c>
      <c r="D90" s="11" t="s">
        <v>35</v>
      </c>
      <c r="E90" s="11" t="s">
        <v>36</v>
      </c>
      <c r="F90" s="11" t="s">
        <v>37</v>
      </c>
      <c r="G90" s="11" t="s">
        <v>38</v>
      </c>
      <c r="H90" s="11" t="s">
        <v>39</v>
      </c>
      <c r="I90" s="11" t="s">
        <v>41</v>
      </c>
      <c r="J90" s="11" t="s">
        <v>42</v>
      </c>
      <c r="K90" s="11" t="s">
        <v>43</v>
      </c>
    </row>
    <row r="91" ht="15.75" customHeight="1">
      <c r="A91" s="7">
        <v>1.0</v>
      </c>
      <c r="B91" s="7" t="s">
        <v>105</v>
      </c>
      <c r="C91" s="20">
        <v>46244.0</v>
      </c>
      <c r="E91" s="7" t="s">
        <v>92</v>
      </c>
      <c r="F91" s="7" t="s">
        <v>93</v>
      </c>
      <c r="G91" s="7" t="s">
        <v>106</v>
      </c>
      <c r="H91" s="7" t="s">
        <v>50</v>
      </c>
      <c r="J91" s="6"/>
    </row>
    <row r="92" ht="15.75" customHeight="1">
      <c r="A92" s="7">
        <v>2.0</v>
      </c>
      <c r="C92" s="20">
        <v>46252.0</v>
      </c>
      <c r="H92" s="7" t="s">
        <v>55</v>
      </c>
      <c r="J92" s="6"/>
    </row>
    <row r="93" ht="15.75" customHeight="1">
      <c r="A93" s="7">
        <v>3.0</v>
      </c>
      <c r="C93" s="20">
        <v>46253.0</v>
      </c>
      <c r="H93" s="7" t="s">
        <v>59</v>
      </c>
      <c r="J93" s="6"/>
    </row>
    <row r="94" ht="15.75" customHeight="1">
      <c r="A94" s="7">
        <v>4.0</v>
      </c>
      <c r="C94" s="20">
        <v>46255.0</v>
      </c>
      <c r="H94" s="7" t="s">
        <v>61</v>
      </c>
      <c r="J94" s="6"/>
    </row>
    <row r="95" ht="15.75" customHeight="1">
      <c r="A95" s="7">
        <v>5.0</v>
      </c>
      <c r="C95" s="20">
        <v>46258.0</v>
      </c>
      <c r="J95" s="6"/>
    </row>
    <row r="96" ht="15.75" customHeight="1">
      <c r="A96" s="7">
        <v>6.0</v>
      </c>
      <c r="C96" s="20">
        <v>46261.0</v>
      </c>
      <c r="J96" s="6"/>
    </row>
    <row r="97" ht="15.75" customHeight="1">
      <c r="A97" s="7">
        <v>7.0</v>
      </c>
      <c r="C97" s="20">
        <v>46263.0</v>
      </c>
      <c r="J97" s="6"/>
    </row>
    <row r="98" ht="15.75" customHeight="1">
      <c r="A98" s="7">
        <v>8.0</v>
      </c>
      <c r="C98" s="20">
        <v>46265.0</v>
      </c>
      <c r="J98" s="6"/>
    </row>
    <row r="99" ht="15.75" customHeight="1">
      <c r="A99" s="7">
        <v>9.0</v>
      </c>
      <c r="C99" s="20">
        <v>46267.0</v>
      </c>
      <c r="J99" s="6"/>
    </row>
    <row r="100" ht="15.75" customHeight="1">
      <c r="A100" s="7">
        <v>10.0</v>
      </c>
      <c r="C100" s="20">
        <v>46269.0</v>
      </c>
      <c r="J100" s="6"/>
    </row>
    <row r="101" ht="15.75" customHeight="1">
      <c r="A101" s="7">
        <v>11.0</v>
      </c>
      <c r="C101" s="20">
        <v>46272.0</v>
      </c>
      <c r="J101" s="6"/>
    </row>
    <row r="102" ht="15.75" customHeight="1">
      <c r="A102" s="7">
        <v>12.0</v>
      </c>
      <c r="C102" s="20">
        <v>46277.0</v>
      </c>
      <c r="J102" s="6"/>
    </row>
    <row r="103" ht="15.75" customHeight="1">
      <c r="A103" s="7">
        <v>13.0</v>
      </c>
      <c r="C103" s="7" t="s">
        <v>99</v>
      </c>
      <c r="J103" s="6"/>
    </row>
    <row r="104" ht="15.75" customHeight="1">
      <c r="A104" s="7">
        <v>14.0</v>
      </c>
      <c r="C104" s="7" t="s">
        <v>101</v>
      </c>
      <c r="J104" s="6"/>
    </row>
    <row r="105" ht="15.75" customHeight="1">
      <c r="C105" s="7" t="s">
        <v>103</v>
      </c>
      <c r="J105" s="6"/>
    </row>
    <row r="106" ht="15.75" customHeight="1">
      <c r="C106" s="7" t="s">
        <v>107</v>
      </c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>
      <c r="J501" s="6"/>
    </row>
    <row r="502" ht="15.75" customHeight="1">
      <c r="J502" s="6"/>
    </row>
    <row r="503" ht="15.75" customHeight="1">
      <c r="J503" s="6"/>
    </row>
    <row r="504" ht="15.75" customHeight="1">
      <c r="J504" s="6"/>
    </row>
    <row r="505" ht="15.75" customHeight="1">
      <c r="J505" s="6"/>
    </row>
    <row r="506" ht="15.75" customHeight="1">
      <c r="J506" s="6"/>
    </row>
    <row r="507" ht="15.75" customHeight="1">
      <c r="J507" s="6"/>
    </row>
    <row r="508" ht="15.75" customHeight="1">
      <c r="J508" s="6"/>
    </row>
    <row r="509" ht="15.75" customHeight="1">
      <c r="J509" s="6"/>
    </row>
    <row r="510" ht="15.75" customHeight="1">
      <c r="J510" s="6"/>
    </row>
    <row r="511" ht="15.75" customHeight="1">
      <c r="J511" s="6"/>
    </row>
    <row r="512" ht="15.75" customHeight="1">
      <c r="J512" s="6"/>
    </row>
    <row r="513" ht="15.75" customHeight="1">
      <c r="J513" s="6"/>
    </row>
    <row r="514" ht="15.75" customHeight="1">
      <c r="J514" s="6"/>
    </row>
    <row r="515" ht="15.75" customHeight="1">
      <c r="J515" s="6"/>
    </row>
    <row r="516" ht="15.75" customHeight="1">
      <c r="J516" s="6"/>
    </row>
    <row r="517" ht="15.75" customHeight="1">
      <c r="J517" s="6"/>
    </row>
    <row r="518" ht="15.75" customHeight="1">
      <c r="J518" s="6"/>
    </row>
    <row r="519" ht="15.75" customHeight="1">
      <c r="J519" s="6"/>
    </row>
    <row r="520" ht="15.75" customHeight="1">
      <c r="J520" s="6"/>
    </row>
    <row r="521" ht="15.75" customHeight="1">
      <c r="J521" s="6"/>
    </row>
    <row r="522" ht="15.75" customHeight="1">
      <c r="J522" s="6"/>
    </row>
    <row r="523" ht="15.75" customHeight="1">
      <c r="J523" s="6"/>
    </row>
    <row r="524" ht="15.75" customHeight="1">
      <c r="J524" s="6"/>
    </row>
    <row r="525" ht="15.75" customHeight="1">
      <c r="J525" s="6"/>
    </row>
    <row r="526" ht="15.75" customHeight="1">
      <c r="J526" s="6"/>
    </row>
    <row r="527" ht="15.75" customHeight="1">
      <c r="J527" s="6"/>
    </row>
    <row r="528" ht="15.75" customHeight="1">
      <c r="J528" s="6"/>
    </row>
    <row r="529" ht="15.75" customHeight="1">
      <c r="J529" s="6"/>
    </row>
    <row r="530" ht="15.75" customHeight="1">
      <c r="J530" s="6"/>
    </row>
    <row r="531" ht="15.75" customHeight="1">
      <c r="J531" s="6"/>
    </row>
    <row r="532" ht="15.75" customHeight="1">
      <c r="J532" s="6"/>
    </row>
    <row r="533" ht="15.75" customHeight="1">
      <c r="J533" s="6"/>
    </row>
    <row r="534" ht="15.75" customHeight="1">
      <c r="J534" s="6"/>
    </row>
    <row r="535" ht="15.75" customHeight="1">
      <c r="J535" s="6"/>
    </row>
    <row r="536" ht="15.75" customHeight="1">
      <c r="J536" s="6"/>
    </row>
    <row r="537" ht="15.75" customHeight="1">
      <c r="J537" s="6"/>
    </row>
    <row r="538" ht="15.75" customHeight="1">
      <c r="J538" s="6"/>
    </row>
    <row r="539" ht="15.75" customHeight="1">
      <c r="J539" s="6"/>
    </row>
    <row r="540" ht="15.75" customHeight="1">
      <c r="J540" s="6"/>
    </row>
    <row r="541" ht="15.75" customHeight="1">
      <c r="J541" s="6"/>
    </row>
    <row r="542" ht="15.75" customHeight="1">
      <c r="J542" s="6"/>
    </row>
    <row r="543" ht="15.75" customHeight="1">
      <c r="J543" s="6"/>
    </row>
    <row r="544" ht="15.75" customHeight="1">
      <c r="J544" s="6"/>
    </row>
    <row r="545" ht="15.75" customHeight="1">
      <c r="J545" s="6"/>
    </row>
    <row r="546" ht="15.75" customHeight="1">
      <c r="J546" s="6"/>
    </row>
    <row r="547" ht="15.75" customHeight="1">
      <c r="J547" s="6"/>
    </row>
    <row r="548" ht="15.75" customHeight="1">
      <c r="J548" s="6"/>
    </row>
    <row r="549" ht="15.75" customHeight="1">
      <c r="J549" s="6"/>
    </row>
    <row r="550" ht="15.75" customHeight="1">
      <c r="J550" s="6"/>
    </row>
    <row r="551" ht="15.75" customHeight="1">
      <c r="J551" s="6"/>
    </row>
    <row r="552" ht="15.75" customHeight="1">
      <c r="J552" s="6"/>
    </row>
    <row r="553" ht="15.75" customHeight="1">
      <c r="J553" s="6"/>
    </row>
    <row r="554" ht="15.75" customHeight="1">
      <c r="J554" s="6"/>
    </row>
    <row r="555" ht="15.75" customHeight="1">
      <c r="J555" s="6"/>
    </row>
    <row r="556" ht="15.75" customHeight="1">
      <c r="J556" s="6"/>
    </row>
    <row r="557" ht="15.75" customHeight="1">
      <c r="J557" s="6"/>
    </row>
    <row r="558" ht="15.75" customHeight="1">
      <c r="J558" s="6"/>
    </row>
    <row r="559" ht="15.75" customHeight="1">
      <c r="J559" s="6"/>
    </row>
    <row r="560" ht="15.75" customHeight="1">
      <c r="J560" s="6"/>
    </row>
    <row r="561" ht="15.75" customHeight="1">
      <c r="J561" s="6"/>
    </row>
    <row r="562" ht="15.75" customHeight="1">
      <c r="J562" s="6"/>
    </row>
    <row r="563" ht="15.75" customHeight="1">
      <c r="J563" s="6"/>
    </row>
    <row r="564" ht="15.75" customHeight="1">
      <c r="J564" s="6"/>
    </row>
    <row r="565" ht="15.75" customHeight="1">
      <c r="J565" s="6"/>
    </row>
    <row r="566" ht="15.75" customHeight="1">
      <c r="J566" s="6"/>
    </row>
    <row r="567" ht="15.75" customHeight="1">
      <c r="J567" s="6"/>
    </row>
    <row r="568" ht="15.75" customHeight="1">
      <c r="J568" s="6"/>
    </row>
    <row r="569" ht="15.75" customHeight="1">
      <c r="J569" s="6"/>
    </row>
    <row r="570" ht="15.75" customHeight="1">
      <c r="J570" s="6"/>
    </row>
    <row r="571" ht="15.75" customHeight="1">
      <c r="J571" s="6"/>
    </row>
    <row r="572" ht="15.75" customHeight="1">
      <c r="J572" s="6"/>
    </row>
    <row r="573" ht="15.75" customHeight="1">
      <c r="J573" s="6"/>
    </row>
    <row r="574" ht="15.75" customHeight="1">
      <c r="J574" s="6"/>
    </row>
    <row r="575" ht="15.75" customHeight="1">
      <c r="J575" s="6"/>
    </row>
    <row r="576" ht="15.75" customHeight="1">
      <c r="J576" s="6"/>
    </row>
    <row r="577" ht="15.75" customHeight="1">
      <c r="J577" s="6"/>
    </row>
    <row r="578" ht="15.75" customHeight="1">
      <c r="J578" s="6"/>
    </row>
    <row r="579" ht="15.75" customHeight="1">
      <c r="J579" s="6"/>
    </row>
    <row r="580" ht="15.75" customHeight="1">
      <c r="J580" s="6"/>
    </row>
    <row r="581" ht="15.75" customHeight="1">
      <c r="J581" s="6"/>
    </row>
    <row r="582" ht="15.75" customHeight="1">
      <c r="J582" s="6"/>
    </row>
    <row r="583" ht="15.75" customHeight="1">
      <c r="J583" s="6"/>
    </row>
    <row r="584" ht="15.75" customHeight="1">
      <c r="J584" s="6"/>
    </row>
    <row r="585" ht="15.75" customHeight="1">
      <c r="J585" s="6"/>
    </row>
    <row r="586" ht="15.75" customHeight="1">
      <c r="J586" s="6"/>
    </row>
    <row r="587" ht="15.75" customHeight="1">
      <c r="J587" s="6"/>
    </row>
    <row r="588" ht="15.75" customHeight="1">
      <c r="J588" s="6"/>
    </row>
    <row r="589" ht="15.75" customHeight="1">
      <c r="J589" s="6"/>
    </row>
    <row r="590" ht="15.75" customHeight="1">
      <c r="J590" s="6"/>
    </row>
    <row r="591" ht="15.75" customHeight="1">
      <c r="J591" s="6"/>
    </row>
    <row r="592" ht="15.75" customHeight="1">
      <c r="J592" s="6"/>
    </row>
    <row r="593" ht="15.75" customHeight="1">
      <c r="J593" s="6"/>
    </row>
    <row r="594" ht="15.75" customHeight="1">
      <c r="J594" s="6"/>
    </row>
    <row r="595" ht="15.75" customHeight="1">
      <c r="J595" s="6"/>
    </row>
    <row r="596" ht="15.75" customHeight="1">
      <c r="J596" s="6"/>
    </row>
    <row r="597" ht="15.75" customHeight="1">
      <c r="J597" s="6"/>
    </row>
    <row r="598" ht="15.75" customHeight="1">
      <c r="J598" s="6"/>
    </row>
    <row r="599" ht="15.75" customHeight="1">
      <c r="J599" s="6"/>
    </row>
    <row r="600" ht="15.75" customHeight="1">
      <c r="J600" s="6"/>
    </row>
    <row r="601" ht="15.75" customHeight="1">
      <c r="J601" s="6"/>
    </row>
    <row r="602" ht="15.75" customHeight="1">
      <c r="J602" s="6"/>
    </row>
    <row r="603" ht="15.75" customHeight="1">
      <c r="J603" s="6"/>
    </row>
    <row r="604" ht="15.75" customHeight="1">
      <c r="J604" s="6"/>
    </row>
    <row r="605" ht="15.75" customHeight="1">
      <c r="J605" s="6"/>
    </row>
    <row r="606" ht="15.75" customHeight="1">
      <c r="J606" s="6"/>
    </row>
    <row r="607" ht="15.75" customHeight="1">
      <c r="J607" s="6"/>
    </row>
    <row r="608" ht="15.75" customHeight="1">
      <c r="J608" s="6"/>
    </row>
    <row r="609" ht="15.75" customHeight="1">
      <c r="J609" s="6"/>
    </row>
    <row r="610" ht="15.75" customHeight="1">
      <c r="J610" s="6"/>
    </row>
    <row r="611" ht="15.75" customHeight="1">
      <c r="J611" s="6"/>
    </row>
    <row r="612" ht="15.75" customHeight="1">
      <c r="J612" s="6"/>
    </row>
    <row r="613" ht="15.75" customHeight="1">
      <c r="J613" s="6"/>
    </row>
    <row r="614" ht="15.75" customHeight="1">
      <c r="J614" s="6"/>
    </row>
    <row r="615" ht="15.75" customHeight="1">
      <c r="J615" s="6"/>
    </row>
    <row r="616" ht="15.75" customHeight="1">
      <c r="J616" s="6"/>
    </row>
    <row r="617" ht="15.75" customHeight="1">
      <c r="J617" s="6"/>
    </row>
    <row r="618" ht="15.75" customHeight="1">
      <c r="J618" s="6"/>
    </row>
    <row r="619" ht="15.75" customHeight="1">
      <c r="J619" s="6"/>
    </row>
    <row r="620" ht="15.75" customHeight="1">
      <c r="J620" s="6"/>
    </row>
    <row r="621" ht="15.75" customHeight="1">
      <c r="J621" s="6"/>
    </row>
    <row r="622" ht="15.75" customHeight="1">
      <c r="J622" s="6"/>
    </row>
    <row r="623" ht="15.75" customHeight="1">
      <c r="J623" s="6"/>
    </row>
    <row r="624" ht="15.75" customHeight="1">
      <c r="J624" s="6"/>
    </row>
    <row r="625" ht="15.75" customHeight="1">
      <c r="J625" s="6"/>
    </row>
    <row r="626" ht="15.75" customHeight="1">
      <c r="J626" s="6"/>
    </row>
    <row r="627" ht="15.75" customHeight="1">
      <c r="J627" s="6"/>
    </row>
    <row r="628" ht="15.75" customHeight="1">
      <c r="J628" s="6"/>
    </row>
    <row r="629" ht="15.75" customHeight="1">
      <c r="J629" s="6"/>
    </row>
    <row r="630" ht="15.75" customHeight="1">
      <c r="J630" s="6"/>
    </row>
    <row r="631" ht="15.75" customHeight="1">
      <c r="J631" s="6"/>
    </row>
    <row r="632" ht="15.75" customHeight="1">
      <c r="J632" s="6"/>
    </row>
    <row r="633" ht="15.75" customHeight="1">
      <c r="J633" s="6"/>
    </row>
    <row r="634" ht="15.75" customHeight="1">
      <c r="J634" s="6"/>
    </row>
    <row r="635" ht="15.75" customHeight="1">
      <c r="J635" s="6"/>
    </row>
    <row r="636" ht="15.75" customHeight="1">
      <c r="J636" s="6"/>
    </row>
    <row r="637" ht="15.75" customHeight="1">
      <c r="J637" s="6"/>
    </row>
    <row r="638" ht="15.75" customHeight="1">
      <c r="J638" s="6"/>
    </row>
    <row r="639" ht="15.75" customHeight="1">
      <c r="J639" s="6"/>
    </row>
    <row r="640" ht="15.75" customHeight="1">
      <c r="J640" s="6"/>
    </row>
    <row r="641" ht="15.75" customHeight="1">
      <c r="J641" s="6"/>
    </row>
    <row r="642" ht="15.75" customHeight="1">
      <c r="J642" s="6"/>
    </row>
    <row r="643" ht="15.75" customHeight="1">
      <c r="J643" s="6"/>
    </row>
    <row r="644" ht="15.75" customHeight="1">
      <c r="J644" s="6"/>
    </row>
    <row r="645" ht="15.75" customHeight="1">
      <c r="J645" s="6"/>
    </row>
    <row r="646" ht="15.75" customHeight="1">
      <c r="J646" s="6"/>
    </row>
    <row r="647" ht="15.75" customHeight="1">
      <c r="J647" s="6"/>
    </row>
    <row r="648" ht="15.75" customHeight="1">
      <c r="J648" s="6"/>
    </row>
    <row r="649" ht="15.75" customHeight="1">
      <c r="J649" s="6"/>
    </row>
    <row r="650" ht="15.75" customHeight="1">
      <c r="J650" s="6"/>
    </row>
    <row r="651" ht="15.75" customHeight="1">
      <c r="J651" s="6"/>
    </row>
    <row r="652" ht="15.75" customHeight="1">
      <c r="J652" s="6"/>
    </row>
    <row r="653" ht="15.75" customHeight="1">
      <c r="J653" s="6"/>
    </row>
    <row r="654" ht="15.75" customHeight="1">
      <c r="J654" s="6"/>
    </row>
    <row r="655" ht="15.75" customHeight="1">
      <c r="J655" s="6"/>
    </row>
    <row r="656" ht="15.75" customHeight="1">
      <c r="J656" s="6"/>
    </row>
    <row r="657" ht="15.75" customHeight="1">
      <c r="J657" s="6"/>
    </row>
    <row r="658" ht="15.75" customHeight="1">
      <c r="J658" s="6"/>
    </row>
    <row r="659" ht="15.75" customHeight="1">
      <c r="J659" s="6"/>
    </row>
    <row r="660" ht="15.75" customHeight="1">
      <c r="J660" s="6"/>
    </row>
    <row r="661" ht="15.75" customHeight="1">
      <c r="J661" s="6"/>
    </row>
    <row r="662" ht="15.75" customHeight="1">
      <c r="J662" s="6"/>
    </row>
    <row r="663" ht="15.75" customHeight="1">
      <c r="J663" s="6"/>
    </row>
    <row r="664" ht="15.75" customHeight="1">
      <c r="J664" s="6"/>
    </row>
    <row r="665" ht="15.75" customHeight="1">
      <c r="J665" s="6"/>
    </row>
    <row r="666" ht="15.75" customHeight="1">
      <c r="J666" s="6"/>
    </row>
    <row r="667" ht="15.75" customHeight="1">
      <c r="J667" s="6"/>
    </row>
    <row r="668" ht="15.75" customHeight="1">
      <c r="J668" s="6"/>
    </row>
    <row r="669" ht="15.75" customHeight="1">
      <c r="J669" s="6"/>
    </row>
    <row r="670" ht="15.75" customHeight="1">
      <c r="J670" s="6"/>
    </row>
    <row r="671" ht="15.75" customHeight="1">
      <c r="J671" s="6"/>
    </row>
    <row r="672" ht="15.75" customHeight="1">
      <c r="J672" s="6"/>
    </row>
    <row r="673" ht="15.75" customHeight="1">
      <c r="J673" s="6"/>
    </row>
    <row r="674" ht="15.75" customHeight="1">
      <c r="J674" s="6"/>
    </row>
    <row r="675" ht="15.75" customHeight="1">
      <c r="J675" s="6"/>
    </row>
    <row r="676" ht="15.75" customHeight="1">
      <c r="J676" s="6"/>
    </row>
    <row r="677" ht="15.75" customHeight="1">
      <c r="J677" s="6"/>
    </row>
    <row r="678" ht="15.75" customHeight="1">
      <c r="J678" s="6"/>
    </row>
    <row r="679" ht="15.75" customHeight="1">
      <c r="J679" s="6"/>
    </row>
    <row r="680" ht="15.75" customHeight="1">
      <c r="J680" s="6"/>
    </row>
    <row r="681" ht="15.75" customHeight="1">
      <c r="J681" s="6"/>
    </row>
    <row r="682" ht="15.75" customHeight="1">
      <c r="J682" s="6"/>
    </row>
    <row r="683" ht="15.75" customHeight="1">
      <c r="J683" s="6"/>
    </row>
    <row r="684" ht="15.75" customHeight="1">
      <c r="J684" s="6"/>
    </row>
    <row r="685" ht="15.75" customHeight="1">
      <c r="J685" s="6"/>
    </row>
    <row r="686" ht="15.75" customHeight="1">
      <c r="J686" s="6"/>
    </row>
    <row r="687" ht="15.75" customHeight="1">
      <c r="J687" s="6"/>
    </row>
    <row r="688" ht="15.75" customHeight="1">
      <c r="J688" s="6"/>
    </row>
    <row r="689" ht="15.75" customHeight="1">
      <c r="J689" s="6"/>
    </row>
    <row r="690" ht="15.75" customHeight="1">
      <c r="J690" s="6"/>
    </row>
    <row r="691" ht="15.75" customHeight="1">
      <c r="J691" s="6"/>
    </row>
    <row r="692" ht="15.75" customHeight="1">
      <c r="J692" s="6"/>
    </row>
    <row r="693" ht="15.75" customHeight="1">
      <c r="J693" s="6"/>
    </row>
    <row r="694" ht="15.75" customHeight="1">
      <c r="J694" s="6"/>
    </row>
    <row r="695" ht="15.75" customHeight="1">
      <c r="J695" s="6"/>
    </row>
    <row r="696" ht="15.75" customHeight="1">
      <c r="J696" s="6"/>
    </row>
    <row r="697" ht="15.75" customHeight="1">
      <c r="J697" s="6"/>
    </row>
    <row r="698" ht="15.75" customHeight="1">
      <c r="J698" s="6"/>
    </row>
    <row r="699" ht="15.75" customHeight="1">
      <c r="J699" s="6"/>
    </row>
    <row r="700" ht="15.75" customHeight="1">
      <c r="J700" s="6"/>
    </row>
    <row r="701" ht="15.75" customHeight="1">
      <c r="J701" s="6"/>
    </row>
    <row r="702" ht="15.75" customHeight="1">
      <c r="J702" s="6"/>
    </row>
    <row r="703" ht="15.75" customHeight="1">
      <c r="J703" s="6"/>
    </row>
    <row r="704" ht="15.75" customHeight="1">
      <c r="J704" s="6"/>
    </row>
    <row r="705" ht="15.75" customHeight="1">
      <c r="J705" s="6"/>
    </row>
    <row r="706" ht="15.75" customHeight="1">
      <c r="J706" s="6"/>
    </row>
    <row r="707" ht="15.75" customHeight="1">
      <c r="J707" s="6"/>
    </row>
    <row r="708" ht="15.75" customHeight="1">
      <c r="J708" s="6"/>
    </row>
    <row r="709" ht="15.75" customHeight="1">
      <c r="J709" s="6"/>
    </row>
    <row r="710" ht="15.75" customHeight="1">
      <c r="J710" s="6"/>
    </row>
    <row r="711" ht="15.75" customHeight="1">
      <c r="J711" s="6"/>
    </row>
    <row r="712" ht="15.75" customHeight="1">
      <c r="J712" s="6"/>
    </row>
    <row r="713" ht="15.75" customHeight="1">
      <c r="J713" s="6"/>
    </row>
    <row r="714" ht="15.75" customHeight="1">
      <c r="J714" s="6"/>
    </row>
    <row r="715" ht="15.75" customHeight="1">
      <c r="J715" s="6"/>
    </row>
    <row r="716" ht="15.75" customHeight="1">
      <c r="J716" s="6"/>
    </row>
    <row r="717" ht="15.75" customHeight="1">
      <c r="J717" s="6"/>
    </row>
    <row r="718" ht="15.75" customHeight="1">
      <c r="J718" s="6"/>
    </row>
    <row r="719" ht="15.75" customHeight="1">
      <c r="J719" s="6"/>
    </row>
    <row r="720" ht="15.75" customHeight="1">
      <c r="J720" s="6"/>
    </row>
    <row r="721" ht="15.75" customHeight="1">
      <c r="J721" s="6"/>
    </row>
    <row r="722" ht="15.75" customHeight="1">
      <c r="J722" s="6"/>
    </row>
    <row r="723" ht="15.75" customHeight="1">
      <c r="J723" s="6"/>
    </row>
    <row r="724" ht="15.75" customHeight="1">
      <c r="J724" s="6"/>
    </row>
    <row r="725" ht="15.75" customHeight="1">
      <c r="J725" s="6"/>
    </row>
    <row r="726" ht="15.75" customHeight="1">
      <c r="J726" s="6"/>
    </row>
    <row r="727" ht="15.75" customHeight="1">
      <c r="J727" s="6"/>
    </row>
    <row r="728" ht="15.75" customHeight="1">
      <c r="J728" s="6"/>
    </row>
    <row r="729" ht="15.75" customHeight="1">
      <c r="J729" s="6"/>
    </row>
    <row r="730" ht="15.75" customHeight="1">
      <c r="J730" s="6"/>
    </row>
    <row r="731" ht="15.75" customHeight="1">
      <c r="J731" s="6"/>
    </row>
    <row r="732" ht="15.75" customHeight="1">
      <c r="J732" s="6"/>
    </row>
    <row r="733" ht="15.75" customHeight="1">
      <c r="J733" s="6"/>
    </row>
    <row r="734" ht="15.75" customHeight="1">
      <c r="J734" s="6"/>
    </row>
    <row r="735" ht="15.75" customHeight="1">
      <c r="J735" s="6"/>
    </row>
    <row r="736" ht="15.75" customHeight="1">
      <c r="J736" s="6"/>
    </row>
    <row r="737" ht="15.75" customHeight="1">
      <c r="J737" s="6"/>
    </row>
    <row r="738" ht="15.75" customHeight="1">
      <c r="J738" s="6"/>
    </row>
    <row r="739" ht="15.75" customHeight="1">
      <c r="J739" s="6"/>
    </row>
    <row r="740" ht="15.75" customHeight="1">
      <c r="J740" s="6"/>
    </row>
    <row r="741" ht="15.75" customHeight="1">
      <c r="J741" s="6"/>
    </row>
    <row r="742" ht="15.75" customHeight="1">
      <c r="J742" s="6"/>
    </row>
    <row r="743" ht="15.75" customHeight="1">
      <c r="J743" s="6"/>
    </row>
    <row r="744" ht="15.75" customHeight="1">
      <c r="J744" s="6"/>
    </row>
    <row r="745" ht="15.75" customHeight="1">
      <c r="J745" s="6"/>
    </row>
    <row r="746" ht="15.75" customHeight="1">
      <c r="J746" s="6"/>
    </row>
    <row r="747" ht="15.75" customHeight="1">
      <c r="J747" s="6"/>
    </row>
    <row r="748" ht="15.75" customHeight="1">
      <c r="J748" s="6"/>
    </row>
    <row r="749" ht="15.75" customHeight="1">
      <c r="J749" s="6"/>
    </row>
    <row r="750" ht="15.75" customHeight="1">
      <c r="J750" s="6"/>
    </row>
    <row r="751" ht="15.75" customHeight="1">
      <c r="J751" s="6"/>
    </row>
    <row r="752" ht="15.75" customHeight="1">
      <c r="J752" s="6"/>
    </row>
    <row r="753" ht="15.75" customHeight="1">
      <c r="J753" s="6"/>
    </row>
    <row r="754" ht="15.75" customHeight="1">
      <c r="J754" s="6"/>
    </row>
    <row r="755" ht="15.75" customHeight="1">
      <c r="J755" s="6"/>
    </row>
    <row r="756" ht="15.75" customHeight="1">
      <c r="J756" s="6"/>
    </row>
    <row r="757" ht="15.75" customHeight="1">
      <c r="J757" s="6"/>
    </row>
    <row r="758" ht="15.75" customHeight="1">
      <c r="J758" s="6"/>
    </row>
    <row r="759" ht="15.75" customHeight="1">
      <c r="J759" s="6"/>
    </row>
    <row r="760" ht="15.75" customHeight="1">
      <c r="J760" s="6"/>
    </row>
    <row r="761" ht="15.75" customHeight="1">
      <c r="J761" s="6"/>
    </row>
    <row r="762" ht="15.75" customHeight="1">
      <c r="J762" s="6"/>
    </row>
    <row r="763" ht="15.75" customHeight="1">
      <c r="J763" s="6"/>
    </row>
    <row r="764" ht="15.75" customHeight="1">
      <c r="J764" s="6"/>
    </row>
    <row r="765" ht="15.75" customHeight="1">
      <c r="J765" s="6"/>
    </row>
    <row r="766" ht="15.75" customHeight="1">
      <c r="J766" s="6"/>
    </row>
    <row r="767" ht="15.75" customHeight="1">
      <c r="J767" s="6"/>
    </row>
    <row r="768" ht="15.75" customHeight="1">
      <c r="J768" s="6"/>
    </row>
    <row r="769" ht="15.75" customHeight="1">
      <c r="J769" s="6"/>
    </row>
    <row r="770" ht="15.75" customHeight="1">
      <c r="J770" s="6"/>
    </row>
    <row r="771" ht="15.75" customHeight="1">
      <c r="J771" s="6"/>
    </row>
    <row r="772" ht="15.75" customHeight="1">
      <c r="J772" s="6"/>
    </row>
    <row r="773" ht="15.75" customHeight="1">
      <c r="J773" s="6"/>
    </row>
    <row r="774" ht="15.75" customHeight="1">
      <c r="J774" s="6"/>
    </row>
    <row r="775" ht="15.75" customHeight="1">
      <c r="J775" s="6"/>
    </row>
    <row r="776" ht="15.75" customHeight="1">
      <c r="J776" s="6"/>
    </row>
    <row r="777" ht="15.75" customHeight="1">
      <c r="J777" s="6"/>
    </row>
    <row r="778" ht="15.75" customHeight="1">
      <c r="J778" s="6"/>
    </row>
    <row r="779" ht="15.75" customHeight="1">
      <c r="J779" s="6"/>
    </row>
    <row r="780" ht="15.75" customHeight="1">
      <c r="J780" s="6"/>
    </row>
    <row r="781" ht="15.75" customHeight="1">
      <c r="J781" s="6"/>
    </row>
    <row r="782" ht="15.75" customHeight="1">
      <c r="J782" s="6"/>
    </row>
    <row r="783" ht="15.75" customHeight="1">
      <c r="J783" s="6"/>
    </row>
    <row r="784" ht="15.75" customHeight="1">
      <c r="J784" s="6"/>
    </row>
    <row r="785" ht="15.75" customHeight="1">
      <c r="J785" s="6"/>
    </row>
    <row r="786" ht="15.75" customHeight="1">
      <c r="J786" s="6"/>
    </row>
    <row r="787" ht="15.75" customHeight="1">
      <c r="J787" s="6"/>
    </row>
    <row r="788" ht="15.75" customHeight="1">
      <c r="J788" s="6"/>
    </row>
    <row r="789" ht="15.75" customHeight="1">
      <c r="J789" s="6"/>
    </row>
    <row r="790" ht="15.75" customHeight="1">
      <c r="J790" s="6"/>
    </row>
    <row r="791" ht="15.75" customHeight="1">
      <c r="J791" s="6"/>
    </row>
    <row r="792" ht="15.75" customHeight="1">
      <c r="J792" s="6"/>
    </row>
    <row r="793" ht="15.75" customHeight="1">
      <c r="J793" s="6"/>
    </row>
    <row r="794" ht="15.75" customHeight="1">
      <c r="J794" s="6"/>
    </row>
    <row r="795" ht="15.75" customHeight="1">
      <c r="J795" s="6"/>
    </row>
    <row r="796" ht="15.75" customHeight="1">
      <c r="J796" s="6"/>
    </row>
    <row r="797" ht="15.75" customHeight="1">
      <c r="J797" s="6"/>
    </row>
    <row r="798" ht="15.75" customHeight="1">
      <c r="J798" s="6"/>
    </row>
    <row r="799" ht="15.75" customHeight="1">
      <c r="J799" s="6"/>
    </row>
    <row r="800" ht="15.75" customHeight="1">
      <c r="J800" s="6"/>
    </row>
    <row r="801" ht="15.75" customHeight="1">
      <c r="J801" s="6"/>
    </row>
    <row r="802" ht="15.75" customHeight="1">
      <c r="J802" s="6"/>
    </row>
    <row r="803" ht="15.75" customHeight="1">
      <c r="J803" s="6"/>
    </row>
    <row r="804" ht="15.75" customHeight="1">
      <c r="J804" s="6"/>
    </row>
    <row r="805" ht="15.75" customHeight="1">
      <c r="J805" s="6"/>
    </row>
    <row r="806" ht="15.75" customHeight="1">
      <c r="J806" s="6"/>
    </row>
    <row r="807" ht="15.75" customHeight="1">
      <c r="J807" s="6"/>
    </row>
    <row r="808" ht="15.75" customHeight="1">
      <c r="J808" s="6"/>
    </row>
    <row r="809" ht="15.75" customHeight="1">
      <c r="J809" s="6"/>
    </row>
    <row r="810" ht="15.75" customHeight="1">
      <c r="J810" s="6"/>
    </row>
    <row r="811" ht="15.75" customHeight="1">
      <c r="J811" s="6"/>
    </row>
    <row r="812" ht="15.75" customHeight="1">
      <c r="J812" s="6"/>
    </row>
    <row r="813" ht="15.75" customHeight="1">
      <c r="J813" s="6"/>
    </row>
    <row r="814" ht="15.75" customHeight="1">
      <c r="J814" s="6"/>
    </row>
    <row r="815" ht="15.75" customHeight="1">
      <c r="J815" s="6"/>
    </row>
    <row r="816" ht="15.75" customHeight="1">
      <c r="J816" s="6"/>
    </row>
    <row r="817" ht="15.75" customHeight="1">
      <c r="J817" s="6"/>
    </row>
    <row r="818" ht="15.75" customHeight="1">
      <c r="J818" s="6"/>
    </row>
    <row r="819" ht="15.75" customHeight="1">
      <c r="J819" s="6"/>
    </row>
    <row r="820" ht="15.75" customHeight="1">
      <c r="J820" s="6"/>
    </row>
    <row r="821" ht="15.75" customHeight="1">
      <c r="J821" s="6"/>
    </row>
    <row r="822" ht="15.75" customHeight="1">
      <c r="J822" s="6"/>
    </row>
    <row r="823" ht="15.75" customHeight="1">
      <c r="J823" s="6"/>
    </row>
    <row r="824" ht="15.75" customHeight="1">
      <c r="J824" s="6"/>
    </row>
    <row r="825" ht="15.75" customHeight="1">
      <c r="J825" s="6"/>
    </row>
    <row r="826" ht="15.75" customHeight="1">
      <c r="J826" s="6"/>
    </row>
    <row r="827" ht="15.75" customHeight="1">
      <c r="J827" s="6"/>
    </row>
    <row r="828" ht="15.75" customHeight="1">
      <c r="J828" s="6"/>
    </row>
    <row r="829" ht="15.75" customHeight="1">
      <c r="J829" s="6"/>
    </row>
    <row r="830" ht="15.75" customHeight="1">
      <c r="J830" s="6"/>
    </row>
    <row r="831" ht="15.75" customHeight="1">
      <c r="J831" s="6"/>
    </row>
    <row r="832" ht="15.75" customHeight="1">
      <c r="J832" s="6"/>
    </row>
    <row r="833" ht="15.75" customHeight="1">
      <c r="J833" s="6"/>
    </row>
    <row r="834" ht="15.75" customHeight="1">
      <c r="J834" s="6"/>
    </row>
    <row r="835" ht="15.75" customHeight="1">
      <c r="J835" s="6"/>
    </row>
    <row r="836" ht="15.75" customHeight="1">
      <c r="J836" s="6"/>
    </row>
    <row r="837" ht="15.75" customHeight="1">
      <c r="J837" s="6"/>
    </row>
    <row r="838" ht="15.75" customHeight="1">
      <c r="J838" s="6"/>
    </row>
    <row r="839" ht="15.75" customHeight="1">
      <c r="J839" s="6"/>
    </row>
    <row r="840" ht="15.75" customHeight="1">
      <c r="J840" s="6"/>
    </row>
    <row r="841" ht="15.75" customHeight="1">
      <c r="J841" s="6"/>
    </row>
    <row r="842" ht="15.75" customHeight="1">
      <c r="J842" s="6"/>
    </row>
    <row r="843" ht="15.75" customHeight="1">
      <c r="J843" s="6"/>
    </row>
    <row r="844" ht="15.75" customHeight="1">
      <c r="J844" s="6"/>
    </row>
    <row r="845" ht="15.75" customHeight="1">
      <c r="J845" s="6"/>
    </row>
    <row r="846" ht="15.75" customHeight="1">
      <c r="J846" s="6"/>
    </row>
    <row r="847" ht="15.75" customHeight="1">
      <c r="J847" s="6"/>
    </row>
    <row r="848" ht="15.75" customHeight="1">
      <c r="J848" s="6"/>
    </row>
    <row r="849" ht="15.75" customHeight="1">
      <c r="J849" s="6"/>
    </row>
    <row r="850" ht="15.75" customHeight="1">
      <c r="J850" s="6"/>
    </row>
    <row r="851" ht="15.75" customHeight="1">
      <c r="J851" s="6"/>
    </row>
    <row r="852" ht="15.75" customHeight="1">
      <c r="J852" s="6"/>
    </row>
    <row r="853" ht="15.75" customHeight="1">
      <c r="J853" s="6"/>
    </row>
    <row r="854" ht="15.75" customHeight="1">
      <c r="J854" s="6"/>
    </row>
    <row r="855" ht="15.75" customHeight="1">
      <c r="J855" s="6"/>
    </row>
    <row r="856" ht="15.75" customHeight="1">
      <c r="J856" s="6"/>
    </row>
    <row r="857" ht="15.75" customHeight="1">
      <c r="J857" s="6"/>
    </row>
    <row r="858" ht="15.75" customHeight="1">
      <c r="J858" s="6"/>
    </row>
    <row r="859" ht="15.75" customHeight="1">
      <c r="J859" s="6"/>
    </row>
    <row r="860" ht="15.75" customHeight="1">
      <c r="J860" s="6"/>
    </row>
    <row r="861" ht="15.75" customHeight="1">
      <c r="J861" s="6"/>
    </row>
    <row r="862" ht="15.75" customHeight="1">
      <c r="J862" s="6"/>
    </row>
    <row r="863" ht="15.75" customHeight="1">
      <c r="J863" s="6"/>
    </row>
    <row r="864" ht="15.75" customHeight="1">
      <c r="J864" s="6"/>
    </row>
    <row r="865" ht="15.75" customHeight="1">
      <c r="J865" s="6"/>
    </row>
    <row r="866" ht="15.75" customHeight="1">
      <c r="J866" s="6"/>
    </row>
    <row r="867" ht="15.75" customHeight="1">
      <c r="J867" s="6"/>
    </row>
    <row r="868" ht="15.75" customHeight="1">
      <c r="J868" s="6"/>
    </row>
    <row r="869" ht="15.75" customHeight="1">
      <c r="J869" s="6"/>
    </row>
    <row r="870" ht="15.75" customHeight="1">
      <c r="J870" s="6"/>
    </row>
    <row r="871" ht="15.75" customHeight="1">
      <c r="J871" s="6"/>
    </row>
    <row r="872" ht="15.75" customHeight="1">
      <c r="J872" s="6"/>
    </row>
    <row r="873" ht="15.75" customHeight="1">
      <c r="J873" s="6"/>
    </row>
    <row r="874" ht="15.75" customHeight="1">
      <c r="J874" s="6"/>
    </row>
    <row r="875" ht="15.75" customHeight="1">
      <c r="J875" s="6"/>
    </row>
    <row r="876" ht="15.75" customHeight="1">
      <c r="J876" s="6"/>
    </row>
    <row r="877" ht="15.75" customHeight="1">
      <c r="J877" s="6"/>
    </row>
    <row r="878" ht="15.75" customHeight="1">
      <c r="J878" s="6"/>
    </row>
    <row r="879" ht="15.75" customHeight="1">
      <c r="J879" s="6"/>
    </row>
    <row r="880" ht="15.75" customHeight="1">
      <c r="J880" s="6"/>
    </row>
    <row r="881" ht="15.75" customHeight="1">
      <c r="J881" s="6"/>
    </row>
    <row r="882" ht="15.75" customHeight="1">
      <c r="J882" s="6"/>
    </row>
    <row r="883" ht="15.75" customHeight="1">
      <c r="J883" s="6"/>
    </row>
    <row r="884" ht="15.75" customHeight="1">
      <c r="J884" s="6"/>
    </row>
    <row r="885" ht="15.75" customHeight="1">
      <c r="J885" s="6"/>
    </row>
    <row r="886" ht="15.75" customHeight="1">
      <c r="J886" s="6"/>
    </row>
    <row r="887" ht="15.75" customHeight="1">
      <c r="J887" s="6"/>
    </row>
    <row r="888" ht="15.75" customHeight="1">
      <c r="J888" s="6"/>
    </row>
    <row r="889" ht="15.75" customHeight="1">
      <c r="J889" s="6"/>
    </row>
    <row r="890" ht="15.75" customHeight="1">
      <c r="J890" s="6"/>
    </row>
    <row r="891" ht="15.75" customHeight="1">
      <c r="J891" s="6"/>
    </row>
    <row r="892" ht="15.75" customHeight="1">
      <c r="J892" s="6"/>
    </row>
    <row r="893" ht="15.75" customHeight="1">
      <c r="J893" s="6"/>
    </row>
    <row r="894" ht="15.75" customHeight="1">
      <c r="J894" s="6"/>
    </row>
    <row r="895" ht="15.75" customHeight="1">
      <c r="J895" s="6"/>
    </row>
    <row r="896" ht="15.75" customHeight="1">
      <c r="J896" s="6"/>
    </row>
    <row r="897" ht="15.75" customHeight="1">
      <c r="J897" s="6"/>
    </row>
    <row r="898" ht="15.75" customHeight="1">
      <c r="J898" s="6"/>
    </row>
    <row r="899" ht="15.75" customHeight="1">
      <c r="J899" s="6"/>
    </row>
    <row r="900" ht="15.75" customHeight="1">
      <c r="J900" s="6"/>
    </row>
    <row r="901" ht="15.75" customHeight="1">
      <c r="J901" s="6"/>
    </row>
    <row r="902" ht="15.75" customHeight="1">
      <c r="J902" s="6"/>
    </row>
    <row r="903" ht="15.75" customHeight="1">
      <c r="J903" s="6"/>
    </row>
    <row r="904" ht="15.75" customHeight="1">
      <c r="J904" s="6"/>
    </row>
    <row r="905" ht="15.75" customHeight="1">
      <c r="J905" s="6"/>
    </row>
    <row r="906" ht="15.75" customHeight="1">
      <c r="J906" s="6"/>
    </row>
    <row r="907" ht="15.75" customHeight="1">
      <c r="J907" s="6"/>
    </row>
    <row r="908" ht="15.75" customHeight="1">
      <c r="J908" s="6"/>
    </row>
    <row r="909" ht="15.75" customHeight="1">
      <c r="J909" s="6"/>
    </row>
    <row r="910" ht="15.75" customHeight="1">
      <c r="J910" s="6"/>
    </row>
    <row r="911" ht="15.75" customHeight="1">
      <c r="J911" s="6"/>
    </row>
    <row r="912" ht="15.75" customHeight="1">
      <c r="J912" s="6"/>
    </row>
    <row r="913" ht="15.75" customHeight="1">
      <c r="J913" s="6"/>
    </row>
    <row r="914" ht="15.75" customHeight="1">
      <c r="J914" s="6"/>
    </row>
    <row r="915" ht="15.75" customHeight="1">
      <c r="J915" s="6"/>
    </row>
    <row r="916" ht="15.75" customHeight="1">
      <c r="J916" s="6"/>
    </row>
    <row r="917" ht="15.75" customHeight="1">
      <c r="J917" s="6"/>
    </row>
    <row r="918" ht="15.75" customHeight="1">
      <c r="J918" s="6"/>
    </row>
    <row r="919" ht="15.75" customHeight="1">
      <c r="J919" s="6"/>
    </row>
    <row r="920" ht="15.75" customHeight="1">
      <c r="J920" s="6"/>
    </row>
    <row r="921" ht="15.75" customHeight="1">
      <c r="J921" s="6"/>
    </row>
    <row r="922" ht="15.75" customHeight="1">
      <c r="J922" s="6"/>
    </row>
    <row r="923" ht="15.75" customHeight="1">
      <c r="J923" s="6"/>
    </row>
    <row r="924" ht="15.75" customHeight="1">
      <c r="J924" s="6"/>
    </row>
    <row r="925" ht="15.75" customHeight="1">
      <c r="J925" s="6"/>
    </row>
    <row r="926" ht="15.75" customHeight="1">
      <c r="J926" s="6"/>
    </row>
    <row r="927" ht="15.75" customHeight="1">
      <c r="J927" s="6"/>
    </row>
    <row r="928" ht="15.75" customHeight="1">
      <c r="J928" s="6"/>
    </row>
    <row r="929" ht="15.75" customHeight="1">
      <c r="J929" s="6"/>
    </row>
    <row r="930" ht="15.75" customHeight="1">
      <c r="J930" s="6"/>
    </row>
    <row r="931" ht="15.75" customHeight="1">
      <c r="J931" s="6"/>
    </row>
    <row r="932" ht="15.75" customHeight="1">
      <c r="J932" s="6"/>
    </row>
    <row r="933" ht="15.75" customHeight="1">
      <c r="J933" s="6"/>
    </row>
    <row r="934" ht="15.75" customHeight="1">
      <c r="J934" s="6"/>
    </row>
    <row r="935" ht="15.75" customHeight="1">
      <c r="J935" s="6"/>
    </row>
    <row r="936" ht="15.75" customHeight="1">
      <c r="J936" s="6"/>
    </row>
    <row r="937" ht="15.75" customHeight="1">
      <c r="J937" s="6"/>
    </row>
    <row r="938" ht="15.75" customHeight="1">
      <c r="J938" s="6"/>
    </row>
    <row r="939" ht="15.75" customHeight="1">
      <c r="J939" s="6"/>
    </row>
    <row r="940" ht="15.75" customHeight="1">
      <c r="J940" s="6"/>
    </row>
    <row r="941" ht="15.75" customHeight="1">
      <c r="J941" s="6"/>
    </row>
    <row r="942" ht="15.75" customHeight="1">
      <c r="J942" s="6"/>
    </row>
    <row r="943" ht="15.75" customHeight="1">
      <c r="J943" s="6"/>
    </row>
    <row r="944" ht="15.75" customHeight="1">
      <c r="J944" s="6"/>
    </row>
    <row r="945" ht="15.75" customHeight="1">
      <c r="J945" s="6"/>
    </row>
    <row r="946" ht="15.75" customHeight="1">
      <c r="J946" s="6"/>
    </row>
    <row r="947" ht="15.75" customHeight="1">
      <c r="J947" s="6"/>
    </row>
    <row r="948" ht="15.75" customHeight="1">
      <c r="J948" s="6"/>
    </row>
    <row r="949" ht="15.75" customHeight="1">
      <c r="J949" s="6"/>
    </row>
    <row r="950" ht="15.75" customHeight="1">
      <c r="J950" s="6"/>
    </row>
    <row r="951" ht="15.75" customHeight="1">
      <c r="J951" s="6"/>
    </row>
    <row r="952" ht="15.75" customHeight="1">
      <c r="J952" s="6"/>
    </row>
    <row r="953" ht="15.75" customHeight="1">
      <c r="J953" s="6"/>
    </row>
    <row r="954" ht="15.75" customHeight="1">
      <c r="J954" s="6"/>
    </row>
    <row r="955" ht="15.75" customHeight="1">
      <c r="J955" s="6"/>
    </row>
    <row r="956" ht="15.75" customHeight="1">
      <c r="J956" s="6"/>
    </row>
    <row r="957" ht="15.75" customHeight="1">
      <c r="J957" s="6"/>
    </row>
    <row r="958" ht="15.75" customHeight="1">
      <c r="J958" s="6"/>
    </row>
    <row r="959" ht="15.75" customHeight="1">
      <c r="J959" s="6"/>
    </row>
    <row r="960" ht="15.75" customHeight="1">
      <c r="J960" s="6"/>
    </row>
    <row r="961" ht="15.75" customHeight="1">
      <c r="J961" s="6"/>
    </row>
    <row r="962" ht="15.75" customHeight="1">
      <c r="J962" s="6"/>
    </row>
    <row r="963" ht="15.75" customHeight="1">
      <c r="J963" s="6"/>
    </row>
    <row r="964" ht="15.75" customHeight="1">
      <c r="J964" s="6"/>
    </row>
    <row r="965" ht="15.75" customHeight="1">
      <c r="J965" s="6"/>
    </row>
    <row r="966" ht="15.75" customHeight="1">
      <c r="J966" s="6"/>
    </row>
    <row r="967" ht="15.75" customHeight="1">
      <c r="J967" s="6"/>
    </row>
    <row r="968" ht="15.75" customHeight="1">
      <c r="J968" s="6"/>
    </row>
    <row r="969" ht="15.75" customHeight="1">
      <c r="J969" s="6"/>
    </row>
    <row r="970" ht="15.75" customHeight="1">
      <c r="J970" s="6"/>
    </row>
    <row r="971" ht="15.75" customHeight="1">
      <c r="J971" s="6"/>
    </row>
    <row r="972" ht="15.75" customHeight="1">
      <c r="J972" s="6"/>
    </row>
    <row r="973" ht="15.75" customHeight="1">
      <c r="J973" s="6"/>
    </row>
    <row r="974" ht="15.75" customHeight="1">
      <c r="J974" s="6"/>
    </row>
    <row r="975" ht="15.75" customHeight="1">
      <c r="J975" s="6"/>
    </row>
    <row r="976" ht="15.75" customHeight="1">
      <c r="J976" s="6"/>
    </row>
    <row r="977" ht="15.75" customHeight="1">
      <c r="J977" s="6"/>
    </row>
    <row r="978" ht="15.75" customHeight="1">
      <c r="J978" s="6"/>
    </row>
    <row r="979" ht="15.75" customHeight="1">
      <c r="J979" s="6"/>
    </row>
    <row r="980" ht="15.75" customHeight="1">
      <c r="J980" s="6"/>
    </row>
    <row r="981" ht="15.75" customHeight="1">
      <c r="J981" s="6"/>
    </row>
    <row r="982" ht="15.75" customHeight="1">
      <c r="J982" s="6"/>
    </row>
    <row r="983" ht="15.75" customHeight="1">
      <c r="J983" s="6"/>
    </row>
    <row r="984" ht="15.75" customHeight="1">
      <c r="J984" s="6"/>
    </row>
    <row r="985" ht="15.75" customHeight="1">
      <c r="J985" s="6"/>
    </row>
    <row r="986" ht="15.75" customHeight="1">
      <c r="J986" s="6"/>
    </row>
    <row r="987" ht="15.75" customHeight="1">
      <c r="J987" s="6"/>
    </row>
    <row r="988" ht="15.75" customHeight="1">
      <c r="J988" s="6"/>
    </row>
    <row r="989" ht="15.75" customHeight="1">
      <c r="J989" s="6"/>
    </row>
    <row r="990" ht="15.75" customHeight="1">
      <c r="J990" s="6"/>
    </row>
    <row r="991" ht="15.75" customHeight="1">
      <c r="J991" s="6"/>
    </row>
    <row r="992" ht="15.75" customHeight="1">
      <c r="J992" s="6"/>
    </row>
    <row r="993" ht="15.75" customHeight="1">
      <c r="J993" s="6"/>
    </row>
    <row r="994" ht="15.75" customHeight="1">
      <c r="J994" s="6"/>
    </row>
    <row r="995" ht="15.75" customHeight="1">
      <c r="J995" s="6"/>
    </row>
    <row r="996" ht="15.75" customHeight="1">
      <c r="J996" s="6"/>
    </row>
    <row r="997" ht="15.75" customHeight="1">
      <c r="J997" s="6"/>
    </row>
    <row r="998" ht="15.75" customHeight="1">
      <c r="J998" s="6"/>
    </row>
    <row r="999" ht="15.75" customHeight="1">
      <c r="J999" s="6"/>
    </row>
  </sheetData>
  <autoFilter ref="$A$5:$K$29"/>
  <mergeCells count="1">
    <mergeCell ref="A1:K1"/>
  </mergeCells>
  <dataValidations>
    <dataValidation type="list" allowBlank="1" sqref="J6:J42 J44:J89 J91:J999">
      <formula1>"Completed,In Progress,Needs Revision,Absent,Class Cancelled"</formula1>
    </dataValidation>
  </dataValidations>
  <hyperlinks>
    <hyperlink r:id="rId1" ref="A5"/>
    <hyperlink r:id="rId2" ref="A43"/>
    <hyperlink r:id="rId3" ref="K44"/>
    <hyperlink r:id="rId4" ref="A90"/>
  </hyperlinks>
  <printOptions/>
  <pageMargins bottom="1.0" footer="0.0" header="0.0" left="0.75" right="0.75" top="1.0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2.0"/>
    <col customWidth="1" min="3" max="26" width="8.71"/>
  </cols>
  <sheetData>
    <row r="1">
      <c r="A1" s="2" t="s">
        <v>0</v>
      </c>
    </row>
    <row r="3">
      <c r="A3" s="4" t="s">
        <v>5</v>
      </c>
      <c r="B3" s="4" t="s">
        <v>13</v>
      </c>
    </row>
    <row r="4">
      <c r="A4" s="6" t="s">
        <v>16</v>
      </c>
      <c r="B4" s="8">
        <f>COUNTA('Class Log'!C6:C999)</f>
        <v>36</v>
      </c>
    </row>
    <row r="5">
      <c r="A5" s="6" t="s">
        <v>32</v>
      </c>
      <c r="B5" s="9" t="str">
        <f>SUM('Class Log'!G6:G999)</f>
        <v>#VALUE!</v>
      </c>
    </row>
    <row r="6">
      <c r="A6" s="6" t="s">
        <v>33</v>
      </c>
      <c r="B6" s="6">
        <f>COUNTIF('Class Log'!J6:J999,"Completed")</f>
        <v>11</v>
      </c>
    </row>
    <row r="7">
      <c r="A7" s="6" t="s">
        <v>40</v>
      </c>
      <c r="B7" s="6">
        <f>COUNTIF('Class Log'!J6:J999,"In Progress")</f>
        <v>0</v>
      </c>
    </row>
    <row r="8">
      <c r="A8" s="6" t="s">
        <v>45</v>
      </c>
      <c r="B8" s="6">
        <f>COUNTIF('Class Log'!J6:J999,"Needs Revision")</f>
        <v>1</v>
      </c>
    </row>
    <row r="9">
      <c r="A9" s="6" t="s">
        <v>46</v>
      </c>
      <c r="B9" s="6">
        <f>COUNTIF('Class Log'!J6:J999,"Absent")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" t="s">
        <v>1</v>
      </c>
      <c r="B1" s="3"/>
    </row>
    <row r="2">
      <c r="A2" s="3" t="s">
        <v>2</v>
      </c>
      <c r="B2" s="3" t="s">
        <v>4</v>
      </c>
    </row>
    <row r="3">
      <c r="A3" s="3" t="s">
        <v>6</v>
      </c>
      <c r="B3" s="3" t="s">
        <v>7</v>
      </c>
    </row>
    <row r="4">
      <c r="A4" s="3" t="s">
        <v>8</v>
      </c>
      <c r="B4" s="3" t="s">
        <v>9</v>
      </c>
    </row>
    <row r="5">
      <c r="A5" s="3" t="s">
        <v>10</v>
      </c>
      <c r="B5" s="3" t="s">
        <v>11</v>
      </c>
    </row>
    <row r="6">
      <c r="A6" s="3" t="s">
        <v>12</v>
      </c>
      <c r="B6" s="3" t="s">
        <v>14</v>
      </c>
    </row>
    <row r="7">
      <c r="A7" s="3" t="s">
        <v>17</v>
      </c>
      <c r="B7" s="3" t="s">
        <v>18</v>
      </c>
    </row>
    <row r="8">
      <c r="A8" s="3" t="s">
        <v>19</v>
      </c>
      <c r="B8" s="3" t="s">
        <v>20</v>
      </c>
    </row>
    <row r="9">
      <c r="A9" s="3" t="s">
        <v>21</v>
      </c>
      <c r="B9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